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trick.jeeninga\Coding NH\"/>
    </mc:Choice>
  </mc:AlternateContent>
  <xr:revisionPtr revIDLastSave="0" documentId="8_{39D844CF-795E-4D50-9B14-F9A953D12A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ulier_IDC" sheetId="5" r:id="rId1"/>
    <sheet name="Item" sheetId="6" state="hidden" r:id="rId2"/>
    <sheet name="Brand" sheetId="4" state="hidden" r:id="rId3"/>
    <sheet name="Cost centers" sheetId="3" state="hidden" r:id="rId4"/>
    <sheet name="Lijst" sheetId="2" state="hidden" r:id="rId5"/>
  </sheets>
  <definedNames>
    <definedName name="_xlnm._FilterDatabase" localSheetId="3" hidden="1">'Cost centers'!$A$1:$C$13</definedName>
    <definedName name="_xlnm.Print_Area" localSheetId="0">Formulier_IDC!$B$1:$H$25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5" l="1"/>
  <c r="C13" i="5"/>
  <c r="J9" i="5"/>
  <c r="J8" i="5"/>
  <c r="J7" i="5"/>
  <c r="J6" i="5"/>
  <c r="J5" i="5"/>
  <c r="C6" i="3"/>
  <c r="C10" i="3"/>
  <c r="C2" i="3"/>
  <c r="C3" i="3"/>
  <c r="C5" i="3"/>
  <c r="C4" i="3"/>
  <c r="C13" i="3"/>
  <c r="C8" i="3"/>
  <c r="C9" i="3"/>
  <c r="C7" i="3"/>
  <c r="C12" i="3"/>
  <c r="C11" i="3"/>
  <c r="H25" i="5" l="1"/>
  <c r="J14" i="5"/>
</calcChain>
</file>

<file path=xl/sharedStrings.xml><?xml version="1.0" encoding="utf-8"?>
<sst xmlns="http://schemas.openxmlformats.org/spreadsheetml/2006/main" count="190" uniqueCount="165">
  <si>
    <t>Aan</t>
  </si>
  <si>
    <t>Van:</t>
  </si>
  <si>
    <t>Instructies Noordhoff</t>
  </si>
  <si>
    <t>Controle alvorens in te sturen</t>
  </si>
  <si>
    <t>NOORDHOFF</t>
  </si>
  <si>
    <t xml:space="preserve"> [ Naam]</t>
  </si>
  <si>
    <t>NAAM = vereist veld</t>
  </si>
  <si>
    <t>Afdeling Crediteurenadministratie</t>
  </si>
  <si>
    <t xml:space="preserve"> [ Adres]</t>
  </si>
  <si>
    <t>ADRES = vereist veld</t>
  </si>
  <si>
    <t>crediteuren@noordhoff.nl</t>
  </si>
  <si>
    <t xml:space="preserve"> [ Postcode Woonplaats + Land ]</t>
  </si>
  <si>
    <t>POSTCODE + WOONPLAATS = vereist veld</t>
  </si>
  <si>
    <t>Antwoordnummer 13</t>
  </si>
  <si>
    <t xml:space="preserve"> [ IBAN ]</t>
  </si>
  <si>
    <t>IBAN = vereist veld</t>
  </si>
  <si>
    <t>9700 VB GRONINGEN</t>
  </si>
  <si>
    <t xml:space="preserve"> [ E-mailadres ]</t>
  </si>
  <si>
    <t>EMAIL: vereist veld</t>
  </si>
  <si>
    <t>Datum declaratie:</t>
  </si>
  <si>
    <t>Declaratienummer:</t>
  </si>
  <si>
    <t>Declaratienummer moet opeenvolgend zijn en uniek</t>
  </si>
  <si>
    <t>Contactpersoon Noordhoff:</t>
  </si>
  <si>
    <t>[ Uw contact persoon bij Noordhoff ]</t>
  </si>
  <si>
    <t>Uw contact persoon bij Noordhoff</t>
  </si>
  <si>
    <t>PE-GRJR</t>
  </si>
  <si>
    <t>PE-ECO</t>
  </si>
  <si>
    <t>Netto Bedrag</t>
  </si>
  <si>
    <t>Bureaukosten</t>
  </si>
  <si>
    <t>2024-05</t>
  </si>
  <si>
    <t>Reiskosten - OV</t>
  </si>
  <si>
    <t>2024-06</t>
  </si>
  <si>
    <t>Reiskosten - eigen vervoer</t>
  </si>
  <si>
    <t>2024-07</t>
  </si>
  <si>
    <t>Vergaderkosten</t>
  </si>
  <si>
    <t>2024-08</t>
  </si>
  <si>
    <t>Overige/algemene kosten</t>
  </si>
  <si>
    <t>2024-09</t>
  </si>
  <si>
    <t>Totaal uit te betalen bedrag</t>
  </si>
  <si>
    <t>Telt de cellen H19 tm H24 bij elkaar op</t>
  </si>
  <si>
    <t xml:space="preserve">Toelichting: </t>
  </si>
  <si>
    <r>
      <rPr>
        <b/>
        <sz val="10"/>
        <color rgb="FF000000"/>
        <rFont val="Bliss 2 Regular"/>
        <family val="3"/>
      </rPr>
      <t>Digitaal declareren:</t>
    </r>
    <r>
      <rPr>
        <sz val="10"/>
        <color rgb="FF000000"/>
        <rFont val="Bliss 2 Regular"/>
        <family val="3"/>
      </rPr>
      <t xml:space="preserve"> Declaraties kunnen alleen digitaal (in PDF formaat) gestuurd worden naar crediteuren@noordhoff.nl. Fysieke declaraties en/of afwijkend format (bijvoorbeeld MS Word of MS Excel) worden </t>
    </r>
    <r>
      <rPr>
        <u/>
        <sz val="10"/>
        <color rgb="FF000000"/>
        <rFont val="Bliss 2 Regular"/>
        <family val="3"/>
      </rPr>
      <t>niet</t>
    </r>
    <r>
      <rPr>
        <sz val="10"/>
        <color rgb="FF000000"/>
        <rFont val="Bliss 2 Regular"/>
        <family val="3"/>
      </rPr>
      <t xml:space="preserve"> in behandeling genomen.</t>
    </r>
  </si>
  <si>
    <t>Declaratieformulier schrijf- en redactieopdrachten</t>
  </si>
  <si>
    <t>[ Declaratienummer moet opeenvolgend zijn en uniek ]</t>
  </si>
  <si>
    <t>PO-nummer*</t>
  </si>
  <si>
    <t>Omschrijving**</t>
  </si>
  <si>
    <t>Uren/aantallen</t>
  </si>
  <si>
    <t>Tarief per uur/aantal</t>
  </si>
  <si>
    <t>PO-NU-XXXXXXXX</t>
  </si>
  <si>
    <t>*PO nummer: vul hier het inkooporder (PO) nummer in dat u ontvangen hebt. Zonder dit nummer wordt uw declaratie niet geaccepteerd. Indien een PO uit meerdere regels bestaat, vermeld deze ook afzonderlijk op de declaratie</t>
  </si>
  <si>
    <t xml:space="preserve">** Dit betreft de omschrijving die terug te vinden is op de PO </t>
  </si>
  <si>
    <r>
      <rPr>
        <b/>
        <sz val="10"/>
        <color rgb="FF000000"/>
        <rFont val="Bliss 2 Regular"/>
        <family val="3"/>
      </rPr>
      <t>Omzetbelasting:</t>
    </r>
    <r>
      <rPr>
        <sz val="10"/>
        <color rgb="FF000000"/>
        <rFont val="Bliss 2 Regular"/>
        <family val="3"/>
      </rPr>
      <t xml:space="preserve"> gebruik dit formulier alleen als u </t>
    </r>
    <r>
      <rPr>
        <u/>
        <sz val="10"/>
        <color rgb="FF000000"/>
        <rFont val="Bliss 2 Regular"/>
        <family val="3"/>
      </rPr>
      <t>niet</t>
    </r>
    <r>
      <rPr>
        <sz val="10"/>
        <color rgb="FF000000"/>
        <rFont val="Bliss 2 Regular"/>
        <family val="3"/>
      </rPr>
      <t xml:space="preserve"> bent aangemerkt als ondernemer voor de BTW. Bent u volgens de Belastingdienst ondernemer voor de BTW? Stuur ons dan uw eigen factuur met daarop minimaal vermeld het PO-nummer.</t>
    </r>
  </si>
  <si>
    <t>PE-NNJRLezen</t>
  </si>
  <si>
    <t>PE-NNJRT&amp;S</t>
  </si>
  <si>
    <t>PE-PLJR</t>
  </si>
  <si>
    <t>PE-SSJR</t>
  </si>
  <si>
    <t>PE-Algemeen</t>
  </si>
  <si>
    <t>SE-Algemeen</t>
  </si>
  <si>
    <t>SE-Atlas</t>
  </si>
  <si>
    <t>SE-Binas</t>
  </si>
  <si>
    <t>SE-BNL</t>
  </si>
  <si>
    <t>SE-Chemie</t>
  </si>
  <si>
    <t>SE-G&amp;R</t>
  </si>
  <si>
    <t>SE-GL</t>
  </si>
  <si>
    <t>SE-GWP</t>
  </si>
  <si>
    <t>SE-MW</t>
  </si>
  <si>
    <t>SE-Nectar</t>
  </si>
  <si>
    <t>SE-NK</t>
  </si>
  <si>
    <t>SE-NN</t>
  </si>
  <si>
    <t>SE-OvlChem</t>
  </si>
  <si>
    <t>SE-OvlNat</t>
  </si>
  <si>
    <t>SE-Paso</t>
  </si>
  <si>
    <t>SE-Pincode</t>
  </si>
  <si>
    <t>SE-PleinM</t>
  </si>
  <si>
    <t>SE-Pulsar</t>
  </si>
  <si>
    <t>SE-SEH</t>
  </si>
  <si>
    <t>SE-StepSton</t>
  </si>
  <si>
    <t>SE-TT</t>
  </si>
  <si>
    <t>Brand</t>
  </si>
  <si>
    <t>Binas</t>
  </si>
  <si>
    <t>buiteNLand</t>
  </si>
  <si>
    <t>Chemie</t>
  </si>
  <si>
    <t>Chemie Overal</t>
  </si>
  <si>
    <t>Geschiedeniswerkplaats</t>
  </si>
  <si>
    <t>Getal &amp; Ruimte</t>
  </si>
  <si>
    <t>Grandes Lignes</t>
  </si>
  <si>
    <t>Moderne Wiskunde</t>
  </si>
  <si>
    <t>Nectar</t>
  </si>
  <si>
    <t>Neue Kontakte</t>
  </si>
  <si>
    <t>Nieuw Nederlands</t>
  </si>
  <si>
    <t>Overal Nask/Natuurkunde</t>
  </si>
  <si>
    <t>Paso Adelante</t>
  </si>
  <si>
    <t>Pincode</t>
  </si>
  <si>
    <t>Plein M</t>
  </si>
  <si>
    <t>Pulsar</t>
  </si>
  <si>
    <t>Stepping Stones</t>
  </si>
  <si>
    <t>TrabiTour</t>
  </si>
  <si>
    <t>Atlassen</t>
  </si>
  <si>
    <t>Homemarket</t>
  </si>
  <si>
    <t>Getal &amp; Ruimte Junior</t>
  </si>
  <si>
    <t>Nieuw Nederlands Junior Taal &amp; Spelling</t>
  </si>
  <si>
    <t>Stepping Stones Junior</t>
  </si>
  <si>
    <t>Nieuw Nederlands Junior Lezen</t>
  </si>
  <si>
    <t>Plein Junior</t>
  </si>
  <si>
    <t>Name</t>
  </si>
  <si>
    <t>Cost Center</t>
  </si>
  <si>
    <t>Lijst</t>
  </si>
  <si>
    <t>Educational Content Development - Higher</t>
  </si>
  <si>
    <t>11200</t>
  </si>
  <si>
    <t>Learning Solutions - Higher</t>
  </si>
  <si>
    <t>11300</t>
  </si>
  <si>
    <t>Learning Solutions - Primary</t>
  </si>
  <si>
    <t>20100</t>
  </si>
  <si>
    <t>Educational Content Development – Primary</t>
  </si>
  <si>
    <t>20400</t>
  </si>
  <si>
    <t>Learning Solutions - French Primary</t>
  </si>
  <si>
    <t>25100</t>
  </si>
  <si>
    <t>Learning Solutions - Secondary</t>
  </si>
  <si>
    <t>30100</t>
  </si>
  <si>
    <t>Educational Content Development - Secondary</t>
  </si>
  <si>
    <t>30500</t>
  </si>
  <si>
    <t>Learning Solutions - Proposition management</t>
  </si>
  <si>
    <t>30600</t>
  </si>
  <si>
    <t>Learning Solutions - French Secondary</t>
  </si>
  <si>
    <t>35100</t>
  </si>
  <si>
    <t>Learning Solutions - Vocational</t>
  </si>
  <si>
    <t>40100</t>
  </si>
  <si>
    <t>Educational Content Development - Vocational</t>
  </si>
  <si>
    <t>40400</t>
  </si>
  <si>
    <t>Learning Solutions - Professional</t>
  </si>
  <si>
    <t>50100</t>
  </si>
  <si>
    <t>SE-ECO</t>
  </si>
  <si>
    <t>VE-ECO</t>
  </si>
  <si>
    <t>HE-ECO</t>
  </si>
  <si>
    <t>2024-01</t>
  </si>
  <si>
    <t>2024-02</t>
  </si>
  <si>
    <t>2024-03</t>
  </si>
  <si>
    <t>2024-04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</si>
  <si>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</si>
  <si>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</si>
  <si>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</si>
  <si>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</si>
  <si>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</si>
  <si>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</si>
  <si>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</si>
  <si>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</si>
  <si>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</si>
  <si>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</si>
  <si>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</si>
  <si>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</si>
  <si>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</si>
  <si>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</si>
  <si>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</si>
  <si>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HE-Algemeen</t>
  </si>
  <si>
    <t>VE-Overig</t>
  </si>
  <si>
    <t>VE-Rekenen</t>
  </si>
  <si>
    <t>VE-Engels</t>
  </si>
  <si>
    <t>VE-Nederlands</t>
  </si>
  <si>
    <t>VE-Burgerschap</t>
  </si>
  <si>
    <t>PE-LS</t>
  </si>
  <si>
    <t>SE-LS</t>
  </si>
  <si>
    <t>VE-LS</t>
  </si>
  <si>
    <t>HE-LS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</si>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</sst>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000000"/>
  </numFmts>
  <fonts count="21">
    <font>
      <sz val="10"/>
      <color rgb="FF000000"/>
      <name val="Times New Roman"/>
      <charset val="204"/>
    </font>
    <font>
      <u/>
      <sz val="10"/>
      <color theme="10"/>
      <name val="Times New Roman"/>
      <family val="1"/>
    </font>
    <font>
      <i/>
      <sz val="10"/>
      <color rgb="FFFF0000"/>
      <name val="Bliss 2 Regular"/>
      <family val="3"/>
    </font>
    <font>
      <sz val="10"/>
      <color rgb="FF000000"/>
      <name val="Bliss 2 Regular"/>
      <family val="3"/>
    </font>
    <font>
      <b/>
      <sz val="10"/>
      <color rgb="FF000000"/>
      <name val="Bliss 2 Regular"/>
      <family val="3"/>
    </font>
    <font>
      <sz val="10"/>
      <color rgb="FF0000FF"/>
      <name val="Bliss 2 Regular"/>
      <family val="3"/>
    </font>
    <font>
      <sz val="10"/>
      <name val="Bliss 2 Regular"/>
      <family val="3"/>
    </font>
    <font>
      <b/>
      <sz val="10"/>
      <name val="Bliss 2 Regular"/>
      <family val="3"/>
    </font>
    <font>
      <b/>
      <i/>
      <sz val="10"/>
      <color rgb="FFFF0000"/>
      <name val="Bliss 2 Regular"/>
      <family val="3"/>
    </font>
    <font>
      <u/>
      <sz val="10"/>
      <color rgb="FF000000"/>
      <name val="Bliss 2 Regular"/>
      <family val="3"/>
    </font>
    <font>
      <b/>
      <u/>
      <sz val="16"/>
      <name val="Bliss 2 Regular"/>
      <family val="3"/>
    </font>
    <font>
      <b/>
      <u/>
      <sz val="10"/>
      <color theme="10"/>
      <name val="Bliss 2 Regular"/>
      <family val="3"/>
    </font>
    <font>
      <sz val="10"/>
      <color rgb="FF000000"/>
      <name val="Times New Roman"/>
      <family val="1"/>
    </font>
    <font>
      <sz val="8"/>
      <name val="Arial"/>
      <family val="2"/>
    </font>
    <font>
      <b/>
      <sz val="7"/>
      <name val="Arial"/>
      <family val="2"/>
    </font>
    <font>
      <b/>
      <sz val="12"/>
      <name val="Bliss 2 Regular"/>
      <family val="3"/>
    </font>
    <font>
      <b/>
      <sz val="12"/>
      <color rgb="FF000000"/>
      <name val="Bliss 2 Regular"/>
      <family val="3"/>
    </font>
    <font>
      <sz val="8"/>
      <name val="Times New Roman"/>
      <family val="1"/>
    </font>
    <font>
      <sz val="11"/>
      <color rgb="FF000000"/>
      <name val="Calibri"/>
      <family val="2"/>
    </font>
    <font>
      <b/>
      <i/>
      <sz val="10"/>
      <name val="Bliss 2 Regular"/>
      <family val="3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D9D9D9"/>
        <bgColor rgb="FF000000"/>
      </patternFill>
    </fill>
  </fills>
  <borders count="3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rgb="FF000000"/>
      </right>
      <top style="medium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44" fontId="12" fillId="0" borderId="0" applyFont="0" applyFill="0" applyBorder="0" applyAlignment="0" applyProtection="0"/>
    <xf numFmtId="0" fontId="13" fillId="0" borderId="0"/>
    <xf numFmtId="43" fontId="20" fillId="0" borderId="0" applyFont="0" applyFill="0" applyBorder="0" applyAlignment="0" applyProtection="0"/>
  </cellStyleXfs>
  <cellXfs count="94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wrapText="1"/>
    </xf>
    <xf numFmtId="0" fontId="3" fillId="2" borderId="7" xfId="0" applyFont="1" applyFill="1" applyBorder="1"/>
    <xf numFmtId="0" fontId="3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4" fontId="3" fillId="2" borderId="0" xfId="0" applyNumberFormat="1" applyFont="1" applyFill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7" fillId="2" borderId="7" xfId="0" applyFont="1" applyFill="1" applyBorder="1" applyAlignment="1">
      <alignment horizontal="left" vertical="center" wrapText="1"/>
    </xf>
    <xf numFmtId="0" fontId="7" fillId="2" borderId="7" xfId="0" applyFont="1" applyFill="1" applyBorder="1"/>
    <xf numFmtId="0" fontId="7" fillId="2" borderId="9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23" xfId="0" applyFont="1" applyFill="1" applyBorder="1" applyAlignment="1">
      <alignment horizontal="left" vertical="top" wrapText="1"/>
    </xf>
    <xf numFmtId="0" fontId="3" fillId="2" borderId="18" xfId="0" applyFont="1" applyFill="1" applyBorder="1" applyAlignment="1">
      <alignment horizontal="left" wrapText="1"/>
    </xf>
    <xf numFmtId="164" fontId="3" fillId="2" borderId="19" xfId="0" applyNumberFormat="1" applyFont="1" applyFill="1" applyBorder="1" applyAlignment="1">
      <alignment horizontal="left" wrapText="1"/>
    </xf>
    <xf numFmtId="0" fontId="3" fillId="2" borderId="17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4" fontId="3" fillId="2" borderId="19" xfId="0" applyNumberFormat="1" applyFont="1" applyFill="1" applyBorder="1" applyAlignment="1">
      <alignment horizontal="left" vertical="top"/>
    </xf>
    <xf numFmtId="0" fontId="5" fillId="2" borderId="25" xfId="0" applyFont="1" applyFill="1" applyBorder="1" applyAlignment="1">
      <alignment horizontal="left" vertical="top" wrapText="1"/>
    </xf>
    <xf numFmtId="0" fontId="6" fillId="2" borderId="17" xfId="0" applyFont="1" applyFill="1" applyBorder="1" applyAlignment="1">
      <alignment horizontal="left"/>
    </xf>
    <xf numFmtId="0" fontId="6" fillId="2" borderId="20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0" fontId="11" fillId="2" borderId="17" xfId="1" applyFont="1" applyFill="1" applyBorder="1"/>
    <xf numFmtId="0" fontId="13" fillId="0" borderId="0" xfId="3"/>
    <xf numFmtId="0" fontId="14" fillId="3" borderId="0" xfId="3" applyFont="1" applyFill="1" applyAlignment="1">
      <alignment horizontal="center"/>
    </xf>
    <xf numFmtId="0" fontId="2" fillId="0" borderId="0" xfId="0" applyFont="1" applyAlignment="1">
      <alignment horizontal="left" vertical="top" wrapText="1"/>
    </xf>
    <xf numFmtId="44" fontId="16" fillId="2" borderId="26" xfId="2" applyFont="1" applyFill="1" applyBorder="1" applyAlignment="1">
      <alignment horizontal="left" vertical="top" wrapText="1"/>
    </xf>
    <xf numFmtId="0" fontId="18" fillId="4" borderId="0" xfId="0" applyFont="1" applyFill="1"/>
    <xf numFmtId="0" fontId="18" fillId="0" borderId="0" xfId="0" applyFont="1"/>
    <xf numFmtId="0" fontId="7" fillId="2" borderId="28" xfId="0" applyFont="1" applyFill="1" applyBorder="1" applyAlignment="1">
      <alignment horizontal="left" vertical="top" wrapText="1"/>
    </xf>
    <xf numFmtId="164" fontId="3" fillId="2" borderId="30" xfId="0" applyNumberFormat="1" applyFont="1" applyFill="1" applyBorder="1" applyAlignment="1">
      <alignment horizontal="left" wrapText="1"/>
    </xf>
    <xf numFmtId="0" fontId="7" fillId="2" borderId="0" xfId="0" applyFont="1" applyFill="1" applyAlignment="1">
      <alignment horizontal="left" vertical="center" wrapText="1"/>
    </xf>
    <xf numFmtId="0" fontId="3" fillId="2" borderId="0" xfId="0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center" wrapText="1"/>
    </xf>
    <xf numFmtId="0" fontId="7" fillId="2" borderId="17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7" fillId="2" borderId="27" xfId="0" applyFont="1" applyFill="1" applyBorder="1" applyAlignment="1">
      <alignment horizontal="center" vertical="center" wrapText="1"/>
    </xf>
    <xf numFmtId="43" fontId="5" fillId="2" borderId="27" xfId="4" applyFont="1" applyFill="1" applyBorder="1" applyAlignment="1">
      <alignment vertical="center" wrapText="1"/>
    </xf>
    <xf numFmtId="0" fontId="7" fillId="2" borderId="27" xfId="0" applyFont="1" applyFill="1" applyBorder="1" applyAlignment="1">
      <alignment vertical="center" wrapText="1"/>
    </xf>
    <xf numFmtId="44" fontId="5" fillId="2" borderId="27" xfId="2" applyFont="1" applyFill="1" applyBorder="1" applyAlignment="1">
      <alignment vertical="center" wrapText="1"/>
    </xf>
    <xf numFmtId="44" fontId="5" fillId="2" borderId="27" xfId="2" applyFont="1" applyFill="1" applyBorder="1" applyAlignment="1">
      <alignment horizontal="left" vertical="center" wrapText="1"/>
    </xf>
    <xf numFmtId="0" fontId="6" fillId="2" borderId="27" xfId="0" applyFont="1" applyFill="1" applyBorder="1" applyAlignment="1">
      <alignment vertical="top" wrapText="1"/>
    </xf>
    <xf numFmtId="0" fontId="0" fillId="0" borderId="0" xfId="0" quotePrefix="1" applyAlignment="1">
      <alignment horizontal="left" vertical="top"/>
    </xf>
    <xf numFmtId="0" fontId="6" fillId="2" borderId="29" xfId="0" applyFont="1" applyFill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21" xfId="0" applyFont="1" applyFill="1" applyBorder="1" applyAlignment="1">
      <alignment horizontal="left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center" vertical="top" wrapText="1"/>
    </xf>
    <xf numFmtId="0" fontId="6" fillId="2" borderId="25" xfId="0" applyFont="1" applyFill="1" applyBorder="1" applyAlignment="1">
      <alignment horizontal="center" vertical="top" wrapText="1"/>
    </xf>
    <xf numFmtId="0" fontId="6" fillId="2" borderId="31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19" fillId="2" borderId="10" xfId="0" applyFont="1" applyFill="1" applyBorder="1" applyAlignment="1">
      <alignment horizontal="left" vertical="center" wrapText="1"/>
    </xf>
    <xf numFmtId="0" fontId="19" fillId="2" borderId="11" xfId="0" applyFont="1" applyFill="1" applyBorder="1" applyAlignment="1">
      <alignment horizontal="left" vertical="center" wrapText="1"/>
    </xf>
    <xf numFmtId="0" fontId="19" fillId="2" borderId="12" xfId="0" applyFont="1" applyFill="1" applyBorder="1" applyAlignment="1">
      <alignment horizontal="left" vertical="center" wrapText="1"/>
    </xf>
    <xf numFmtId="0" fontId="19" fillId="2" borderId="14" xfId="0" applyFont="1" applyFill="1" applyBorder="1" applyAlignment="1">
      <alignment horizontal="left" vertical="center" wrapText="1"/>
    </xf>
    <xf numFmtId="0" fontId="19" fillId="2" borderId="15" xfId="0" applyFont="1" applyFill="1" applyBorder="1" applyAlignment="1">
      <alignment horizontal="left" vertical="center" wrapText="1"/>
    </xf>
    <xf numFmtId="0" fontId="19" fillId="2" borderId="16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19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15" fillId="2" borderId="24" xfId="0" applyFont="1" applyFill="1" applyBorder="1" applyAlignment="1">
      <alignment horizontal="left" vertical="top" wrapText="1"/>
    </xf>
    <xf numFmtId="0" fontId="15" fillId="2" borderId="25" xfId="0" applyFont="1" applyFill="1" applyBorder="1" applyAlignment="1">
      <alignment horizontal="left" vertical="top" wrapText="1"/>
    </xf>
    <xf numFmtId="0" fontId="9" fillId="0" borderId="0" xfId="0" applyFont="1" applyAlignment="1">
      <alignment wrapText="1"/>
    </xf>
    <xf numFmtId="0" fontId="4" fillId="2" borderId="0" xfId="0" applyFont="1" applyFill="1" applyAlignment="1">
      <alignment horizontal="left" vertical="top" wrapText="1"/>
    </xf>
    <xf numFmtId="0" fontId="3" fillId="0" borderId="32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</cellXfs>
  <cellStyles count="5">
    <cellStyle name="Comma" xfId="4" builtinId="3"/>
    <cellStyle name="Currency" xfId="2" builtinId="4"/>
    <cellStyle name="Hyperlink" xfId="1" builtinId="8"/>
    <cellStyle name="Normal" xfId="0" builtinId="0"/>
    <cellStyle name="Standaard 2" xfId="3" xr:uid="{A62A4AAB-B1BC-4694-AFE7-0323AA68C79A}"/>
  </cellStyles>
  <dxfs count="2">
    <dxf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1945822</xdr:colOff>
      <xdr:row>0</xdr:row>
      <xdr:rowOff>0</xdr:rowOff>
    </xdr:from>
    <xdr:to>
      <xdr:col>6</xdr:col>
      <xdr:colOff>640103</xdr:colOff>
      <xdr:row>2</xdr:row>
      <xdr:rowOff>332117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E2F58F9D-8B13-4518-95C8-B3FD0A8F7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5822" y="0"/>
          <a:ext cx="3053102" cy="10428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rediteuren@noordhoff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90443-EB41-4AFC-8878-66DE5681EDDE}">
  <sheetPr codeName="Sheet2">
    <pageSetUpPr fitToPage="1"/>
  </sheetPr>
  <dimension ref="B1:J32"/>
  <sheetViews>
    <sheetView showGridLines="0" tabSelected="1" zoomScale="90" zoomScaleNormal="90" zoomScaleSheetLayoutView="70" workbookViewId="0">
      <selection activeCell="B27" sqref="B27:H27"/>
    </sheetView>
  </sheetViews>
  <sheetFormatPr defaultColWidth="9.33203125" defaultRowHeight="13.5"/>
  <cols>
    <col min="1" max="1" width="9.33203125" style="2"/>
    <col min="2" max="2" width="28.1640625" style="6" customWidth="1"/>
    <col min="3" max="3" width="8.83203125" style="6" customWidth="1"/>
    <col min="4" max="4" width="10.83203125" style="6" customWidth="1"/>
    <col min="5" max="5" width="3.33203125" style="6" customWidth="1"/>
    <col min="6" max="6" width="15.1640625" style="6" customWidth="1"/>
    <col min="7" max="7" width="15.6640625" style="6" customWidth="1"/>
    <col min="8" max="8" width="16.6640625" style="6" bestFit="1" customWidth="1"/>
    <col min="9" max="9" width="20.33203125" style="1" hidden="1" customWidth="1"/>
    <col min="10" max="10" width="1.1640625" style="2" hidden="1" customWidth="1"/>
    <col min="11" max="16384" width="9.33203125" style="2"/>
  </cols>
  <sheetData>
    <row r="1" spans="2:10" ht="27.95" customHeight="1">
      <c r="B1" s="62"/>
      <c r="C1" s="62"/>
      <c r="D1" s="62"/>
      <c r="E1" s="62"/>
      <c r="F1" s="62"/>
      <c r="G1" s="62"/>
      <c r="H1" s="62"/>
    </row>
    <row r="2" spans="2:10" ht="27.95" customHeight="1">
      <c r="B2" s="62"/>
      <c r="C2" s="62"/>
      <c r="D2" s="62"/>
      <c r="E2" s="62"/>
      <c r="F2" s="62"/>
      <c r="G2" s="62"/>
      <c r="H2" s="62"/>
    </row>
    <row r="3" spans="2:10" ht="27.95" customHeight="1" thickBot="1">
      <c r="B3" s="63"/>
      <c r="C3" s="63"/>
      <c r="D3" s="63"/>
      <c r="E3" s="63"/>
      <c r="F3" s="63"/>
      <c r="G3" s="63"/>
      <c r="H3" s="63"/>
    </row>
    <row r="4" spans="2:10">
      <c r="B4" s="66" t="s">
        <v>0</v>
      </c>
      <c r="C4" s="67"/>
      <c r="D4" s="68"/>
      <c r="E4" s="15"/>
      <c r="F4" s="69" t="s">
        <v>1</v>
      </c>
      <c r="G4" s="70"/>
      <c r="H4" s="71"/>
      <c r="I4" s="10" t="s">
        <v>2</v>
      </c>
      <c r="J4" s="11" t="s">
        <v>3</v>
      </c>
    </row>
    <row r="5" spans="2:10">
      <c r="B5" s="16" t="s">
        <v>4</v>
      </c>
      <c r="C5" s="36"/>
      <c r="D5" s="12"/>
      <c r="E5" s="3"/>
      <c r="F5" s="72" t="s">
        <v>5</v>
      </c>
      <c r="G5" s="73"/>
      <c r="H5" s="74"/>
      <c r="I5" s="1" t="s">
        <v>6</v>
      </c>
      <c r="J5" s="2" t="str">
        <f>IF(F5="","Naam is een verplicht veld","OK")</f>
        <v>OK</v>
      </c>
    </row>
    <row r="6" spans="2:10" ht="15" customHeight="1">
      <c r="B6" s="75" t="s">
        <v>7</v>
      </c>
      <c r="C6" s="65"/>
      <c r="D6" s="76"/>
      <c r="E6" s="4"/>
      <c r="F6" s="77" t="s">
        <v>8</v>
      </c>
      <c r="G6" s="78"/>
      <c r="H6" s="79"/>
      <c r="I6" s="1" t="s">
        <v>9</v>
      </c>
      <c r="J6" s="2" t="str">
        <f>IF(F6="","ADRES is een verplicht veld","OK")</f>
        <v>OK</v>
      </c>
    </row>
    <row r="7" spans="2:10" ht="14.25" customHeight="1">
      <c r="B7" s="27" t="s">
        <v>10</v>
      </c>
      <c r="C7" s="37"/>
      <c r="D7" s="5"/>
      <c r="E7" s="3"/>
      <c r="F7" s="77" t="s">
        <v>11</v>
      </c>
      <c r="G7" s="78"/>
      <c r="H7" s="79"/>
      <c r="I7" s="1" t="s">
        <v>12</v>
      </c>
      <c r="J7" s="2" t="str">
        <f>IF(F7="","Postcode + Woonplaats is een verplicht veld","OK")</f>
        <v>OK</v>
      </c>
    </row>
    <row r="8" spans="2:10" ht="15" customHeight="1">
      <c r="B8" s="24" t="s">
        <v>13</v>
      </c>
      <c r="C8" s="38"/>
      <c r="D8" s="13"/>
      <c r="E8" s="3"/>
      <c r="F8" s="77" t="s">
        <v>14</v>
      </c>
      <c r="G8" s="78"/>
      <c r="H8" s="79"/>
      <c r="I8" s="1" t="s">
        <v>15</v>
      </c>
      <c r="J8" s="2" t="str">
        <f>IF(F8="","IBAN is een verplicht veld","OK")</f>
        <v>OK</v>
      </c>
    </row>
    <row r="9" spans="2:10" ht="15" customHeight="1">
      <c r="B9" s="25" t="s">
        <v>16</v>
      </c>
      <c r="C9" s="26"/>
      <c r="D9" s="14"/>
      <c r="E9" s="3"/>
      <c r="F9" s="51" t="s">
        <v>17</v>
      </c>
      <c r="G9" s="52"/>
      <c r="H9" s="53"/>
      <c r="I9" s="1" t="s">
        <v>18</v>
      </c>
      <c r="J9" s="2" t="str">
        <f>IF(F9="","E-mailadres is een verplicht veld","OK")</f>
        <v>OK</v>
      </c>
    </row>
    <row r="10" spans="2:10" ht="16.5" customHeight="1">
      <c r="B10" s="54" t="s">
        <v>42</v>
      </c>
      <c r="C10" s="55"/>
      <c r="D10" s="55"/>
      <c r="E10" s="55"/>
      <c r="F10" s="55"/>
      <c r="G10" s="55"/>
      <c r="H10" s="56"/>
    </row>
    <row r="11" spans="2:10">
      <c r="B11" s="54"/>
      <c r="C11" s="55"/>
      <c r="D11" s="55"/>
      <c r="E11" s="55"/>
      <c r="F11" s="55"/>
      <c r="G11" s="55"/>
      <c r="H11" s="56"/>
    </row>
    <row r="12" spans="2:10" ht="14.85" customHeight="1">
      <c r="B12" s="57"/>
      <c r="C12" s="58"/>
      <c r="D12" s="58"/>
      <c r="E12" s="58"/>
      <c r="F12" s="58"/>
      <c r="G12" s="58"/>
      <c r="H12" s="59"/>
    </row>
    <row r="13" spans="2:10" ht="16.5" customHeight="1">
      <c r="B13" s="17" t="s">
        <v>19</v>
      </c>
      <c r="C13" s="60">
        <f ca="1">TODAY()</f>
        <v>46155</v>
      </c>
      <c r="D13" s="61"/>
      <c r="E13" s="61"/>
      <c r="F13" s="61"/>
      <c r="G13" s="61"/>
      <c r="H13" s="18"/>
    </row>
    <row r="14" spans="2:10" ht="16.5" customHeight="1">
      <c r="B14" s="40" t="s">
        <v>20</v>
      </c>
      <c r="C14" s="64" t="s">
        <v>43</v>
      </c>
      <c r="D14" s="65"/>
      <c r="E14" s="65"/>
      <c r="F14" s="65"/>
      <c r="G14" s="65"/>
      <c r="H14" s="19"/>
      <c r="I14" s="1" t="s">
        <v>21</v>
      </c>
      <c r="J14" s="2" t="str">
        <f>IF(C14="","Declaratienummer moet opeenvolgend zijn","OK")</f>
        <v>OK</v>
      </c>
    </row>
    <row r="15" spans="2:10" ht="16.5" customHeight="1">
      <c r="B15" s="34" t="s">
        <v>22</v>
      </c>
      <c r="C15" s="49" t="s">
        <v>23</v>
      </c>
      <c r="D15" s="50"/>
      <c r="E15" s="50"/>
      <c r="F15" s="50"/>
      <c r="G15" s="50"/>
      <c r="H15" s="35"/>
      <c r="I15" s="1" t="s">
        <v>24</v>
      </c>
      <c r="J15" s="2" t="str">
        <f>IF(C15="","Vul hier de naam van uw contactpersoon in","OK")</f>
        <v>OK</v>
      </c>
    </row>
    <row r="16" spans="2:10" ht="27.75" customHeight="1">
      <c r="B16" s="20"/>
      <c r="C16" s="39"/>
      <c r="D16" s="39"/>
      <c r="E16" s="39"/>
      <c r="F16" s="39"/>
      <c r="G16" s="39"/>
      <c r="H16" s="21"/>
    </row>
    <row r="17" spans="2:10" ht="48" customHeight="1">
      <c r="B17" s="44" t="s">
        <v>44</v>
      </c>
      <c r="C17" s="91" t="s">
        <v>45</v>
      </c>
      <c r="D17" s="92"/>
      <c r="E17" s="93"/>
      <c r="F17" s="42" t="s">
        <v>46</v>
      </c>
      <c r="G17" s="42" t="s">
        <v>47</v>
      </c>
      <c r="H17" s="42" t="s">
        <v>27</v>
      </c>
      <c r="I17" s="30"/>
    </row>
    <row r="18" spans="2:10" ht="27.95" customHeight="1">
      <c r="B18" s="47" t="s">
        <v>48</v>
      </c>
      <c r="C18" s="88"/>
      <c r="D18" s="89"/>
      <c r="E18" s="90"/>
      <c r="F18" s="43"/>
      <c r="G18" s="45"/>
      <c r="H18" s="46"/>
    </row>
    <row r="19" spans="2:10" ht="27.95" customHeight="1">
      <c r="B19" s="47"/>
      <c r="C19" s="88"/>
      <c r="D19" s="89"/>
      <c r="E19" s="90"/>
      <c r="F19" s="43"/>
      <c r="G19" s="45"/>
      <c r="H19" s="46"/>
    </row>
    <row r="20" spans="2:10" ht="27.95" customHeight="1">
      <c r="B20" s="47"/>
      <c r="C20" s="88"/>
      <c r="D20" s="89"/>
      <c r="E20" s="90"/>
      <c r="F20" s="43"/>
      <c r="G20" s="45"/>
      <c r="H20" s="46"/>
    </row>
    <row r="21" spans="2:10" ht="27.95" customHeight="1">
      <c r="B21" s="47"/>
      <c r="C21" s="88"/>
      <c r="D21" s="89"/>
      <c r="E21" s="90"/>
      <c r="F21" s="43"/>
      <c r="G21" s="45"/>
      <c r="H21" s="46"/>
      <c r="I21" s="30"/>
    </row>
    <row r="22" spans="2:10" ht="41.1" customHeight="1">
      <c r="B22" s="47"/>
      <c r="C22" s="88"/>
      <c r="D22" s="89"/>
      <c r="E22" s="90"/>
      <c r="F22" s="43"/>
      <c r="G22" s="45"/>
      <c r="H22" s="46"/>
      <c r="I22" s="2"/>
    </row>
    <row r="23" spans="2:10" ht="39.950000000000003" customHeight="1">
      <c r="B23" s="47"/>
      <c r="C23" s="88"/>
      <c r="D23" s="89"/>
      <c r="E23" s="90"/>
      <c r="F23" s="43"/>
      <c r="G23" s="45"/>
      <c r="H23" s="46"/>
    </row>
    <row r="24" spans="2:10" ht="16.5" customHeight="1" thickBot="1">
      <c r="B24" s="82"/>
      <c r="C24" s="83"/>
      <c r="D24" s="83"/>
      <c r="E24" s="83"/>
      <c r="F24" s="83"/>
      <c r="G24" s="7"/>
      <c r="H24" s="22"/>
    </row>
    <row r="25" spans="2:10" ht="17.25" thickBot="1">
      <c r="B25" s="84" t="s">
        <v>38</v>
      </c>
      <c r="C25" s="85"/>
      <c r="D25" s="85"/>
      <c r="E25" s="85"/>
      <c r="F25" s="85"/>
      <c r="G25" s="23"/>
      <c r="H25" s="31">
        <f>SUM(H18:H23)</f>
        <v>0</v>
      </c>
      <c r="I25" s="1" t="s">
        <v>39</v>
      </c>
    </row>
    <row r="26" spans="2:10">
      <c r="B26" s="8"/>
      <c r="C26" s="8"/>
      <c r="D26" s="8"/>
      <c r="E26" s="8"/>
      <c r="F26" s="8"/>
      <c r="G26" s="7"/>
      <c r="H26" s="9"/>
    </row>
    <row r="27" spans="2:10">
      <c r="B27" s="86" t="s">
        <v>40</v>
      </c>
      <c r="C27" s="86"/>
      <c r="D27" s="86"/>
      <c r="E27" s="86"/>
      <c r="F27" s="86"/>
      <c r="G27" s="86"/>
      <c r="H27" s="86"/>
    </row>
    <row r="28" spans="2:10">
      <c r="B28" s="87" t="s">
        <v>49</v>
      </c>
      <c r="C28" s="81"/>
      <c r="D28" s="81"/>
      <c r="E28" s="81"/>
      <c r="F28" s="81"/>
      <c r="G28" s="81"/>
      <c r="H28" s="81"/>
      <c r="I28" s="81"/>
      <c r="J28" s="81"/>
    </row>
    <row r="29" spans="2:10">
      <c r="B29" s="87" t="s">
        <v>50</v>
      </c>
      <c r="C29" s="81"/>
      <c r="D29" s="81"/>
      <c r="E29" s="81"/>
      <c r="F29" s="81"/>
      <c r="G29" s="81"/>
      <c r="H29" s="81"/>
      <c r="I29" s="81"/>
      <c r="J29" s="81"/>
    </row>
    <row r="30" spans="2:10">
      <c r="B30" s="80" t="s">
        <v>41</v>
      </c>
      <c r="C30" s="81"/>
      <c r="D30" s="81"/>
      <c r="E30" s="81"/>
      <c r="F30" s="81"/>
      <c r="G30" s="81"/>
      <c r="H30" s="81"/>
      <c r="I30" s="81"/>
      <c r="J30" s="81"/>
    </row>
    <row r="31" spans="2:10">
      <c r="B31" s="80" t="s">
        <v>51</v>
      </c>
      <c r="C31" s="81"/>
      <c r="D31" s="81"/>
      <c r="E31" s="81"/>
      <c r="F31" s="81"/>
      <c r="G31" s="81"/>
      <c r="H31" s="81"/>
      <c r="I31" s="81"/>
      <c r="J31" s="81"/>
    </row>
    <row r="32" spans="2:10" ht="19.5" customHeight="1">
      <c r="B32" s="80"/>
      <c r="C32" s="81"/>
      <c r="D32" s="81"/>
      <c r="E32" s="81"/>
      <c r="F32" s="81"/>
      <c r="G32" s="81"/>
      <c r="H32" s="81"/>
      <c r="I32" s="81"/>
      <c r="J32" s="81"/>
    </row>
  </sheetData>
  <mergeCells count="28">
    <mergeCell ref="C22:E22"/>
    <mergeCell ref="C23:E23"/>
    <mergeCell ref="C17:E17"/>
    <mergeCell ref="C18:E18"/>
    <mergeCell ref="C19:E19"/>
    <mergeCell ref="C20:E20"/>
    <mergeCell ref="C21:E21"/>
    <mergeCell ref="B32:J32"/>
    <mergeCell ref="B24:F24"/>
    <mergeCell ref="B25:F25"/>
    <mergeCell ref="B27:H27"/>
    <mergeCell ref="B28:J28"/>
    <mergeCell ref="B30:J30"/>
    <mergeCell ref="B31:J31"/>
    <mergeCell ref="B29:J29"/>
    <mergeCell ref="C15:G15"/>
    <mergeCell ref="F9:H9"/>
    <mergeCell ref="B10:H12"/>
    <mergeCell ref="C13:G13"/>
    <mergeCell ref="B1:H3"/>
    <mergeCell ref="C14:G14"/>
    <mergeCell ref="B4:D4"/>
    <mergeCell ref="F4:H4"/>
    <mergeCell ref="F5:H5"/>
    <mergeCell ref="B6:D6"/>
    <mergeCell ref="F6:H6"/>
    <mergeCell ref="F7:H7"/>
    <mergeCell ref="F8:H8"/>
  </mergeCells>
  <conditionalFormatting sqref="J5:J9 J14:J15">
    <cfRule type="cellIs" dxfId="0" priority="4" operator="equal">
      <formula>"OK"</formula>
    </cfRule>
  </conditionalFormatting>
  <hyperlinks>
    <hyperlink ref="B7" r:id="rId1" xr:uid="{B08CE4C8-FAAC-42AC-83D2-48A25C37455B}"/>
  </hyperlinks>
  <pageMargins left="0.7" right="0.7" top="0.75" bottom="0.75" header="0.3" footer="0.3"/>
  <pageSetup paperSize="9" fitToHeight="0" orientation="portrait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3" operator="notContains" id="{DF1AB114-7F5B-4902-9937-423E05435C9B}">
            <xm:f>ISERROR(SEARCH("OK",J5))</xm:f>
            <xm:f>"OK"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J5:J9 J14:J15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38E8-CC91-425E-94E1-8DA4FE99CA25}">
  <sheetPr codeName="Sheet3"/>
  <dimension ref="B1:B58"/>
  <sheetViews>
    <sheetView topLeftCell="A19" workbookViewId="0">
      <selection activeCell="B28" sqref="B28:B33"/>
    </sheetView>
  </sheetViews>
  <sheetFormatPr defaultRowHeight="12.75"/>
  <cols>
    <col min="2" max="2" width="13.5" bestFit="1" customWidth="1"/>
  </cols>
  <sheetData>
    <row r="1" spans="2:2">
      <c r="B1" t="s">
        <v>25</v>
      </c>
    </row>
    <row r="2" spans="2:2">
      <c r="B2" t="s">
        <v>52</v>
      </c>
    </row>
    <row r="3" spans="2:2">
      <c r="B3" t="s">
        <v>53</v>
      </c>
    </row>
    <row r="4" spans="2:2">
      <c r="B4" t="s">
        <v>54</v>
      </c>
    </row>
    <row r="5" spans="2:2">
      <c r="B5" t="s">
        <v>55</v>
      </c>
    </row>
    <row r="6" spans="2:2">
      <c r="B6" t="s">
        <v>56</v>
      </c>
    </row>
    <row r="7" spans="2:2">
      <c r="B7" t="s">
        <v>57</v>
      </c>
    </row>
    <row r="8" spans="2:2">
      <c r="B8" t="s">
        <v>58</v>
      </c>
    </row>
    <row r="9" spans="2:2">
      <c r="B9" t="s">
        <v>59</v>
      </c>
    </row>
    <row r="10" spans="2:2">
      <c r="B10" t="s">
        <v>60</v>
      </c>
    </row>
    <row r="11" spans="2:2">
      <c r="B11" t="s">
        <v>61</v>
      </c>
    </row>
    <row r="12" spans="2:2">
      <c r="B12" t="s">
        <v>62</v>
      </c>
    </row>
    <row r="13" spans="2:2">
      <c r="B13" t="s">
        <v>63</v>
      </c>
    </row>
    <row r="14" spans="2:2">
      <c r="B14" t="s">
        <v>64</v>
      </c>
    </row>
    <row r="15" spans="2:2">
      <c r="B15" t="s">
        <v>65</v>
      </c>
    </row>
    <row r="16" spans="2:2">
      <c r="B16" t="s">
        <v>66</v>
      </c>
    </row>
    <row r="17" spans="2:2">
      <c r="B17" t="s">
        <v>67</v>
      </c>
    </row>
    <row r="18" spans="2:2">
      <c r="B18" t="s">
        <v>68</v>
      </c>
    </row>
    <row r="19" spans="2:2">
      <c r="B19" t="s">
        <v>69</v>
      </c>
    </row>
    <row r="20" spans="2:2">
      <c r="B20" t="s">
        <v>70</v>
      </c>
    </row>
    <row r="21" spans="2:2">
      <c r="B21" t="s">
        <v>71</v>
      </c>
    </row>
    <row r="22" spans="2:2">
      <c r="B22" t="s">
        <v>72</v>
      </c>
    </row>
    <row r="23" spans="2:2">
      <c r="B23" t="s">
        <v>73</v>
      </c>
    </row>
    <row r="24" spans="2:2">
      <c r="B24" t="s">
        <v>74</v>
      </c>
    </row>
    <row r="25" spans="2:2">
      <c r="B25" t="s">
        <v>75</v>
      </c>
    </row>
    <row r="26" spans="2:2">
      <c r="B26" t="s">
        <v>76</v>
      </c>
    </row>
    <row r="27" spans="2:2">
      <c r="B27" t="s">
        <v>77</v>
      </c>
    </row>
    <row r="28" spans="2:2">
      <c r="B28" t="s">
        <v>157</v>
      </c>
    </row>
    <row r="29" spans="2:2">
      <c r="B29" t="s">
        <v>156</v>
      </c>
    </row>
    <row r="30" spans="2:2">
      <c r="B30" t="s">
        <v>155</v>
      </c>
    </row>
    <row r="31" spans="2:2">
      <c r="B31" t="s">
        <v>158</v>
      </c>
    </row>
    <row r="32" spans="2:2">
      <c r="B32" t="s">
        <v>154</v>
      </c>
    </row>
    <row r="33" spans="2:2">
      <c r="B33" t="s">
        <v>153</v>
      </c>
    </row>
    <row r="34" spans="2:2">
      <c r="B34" t="s">
        <v>25</v>
      </c>
    </row>
    <row r="35" spans="2:2">
      <c r="B35" t="s">
        <v>52</v>
      </c>
    </row>
    <row r="36" spans="2:2">
      <c r="B36" t="s">
        <v>53</v>
      </c>
    </row>
    <row r="37" spans="2:2">
      <c r="B37" t="s">
        <v>54</v>
      </c>
    </row>
    <row r="38" spans="2:2">
      <c r="B38" t="s">
        <v>55</v>
      </c>
    </row>
    <row r="39" spans="2:2">
      <c r="B39" t="s">
        <v>58</v>
      </c>
    </row>
    <row r="40" spans="2:2">
      <c r="B40" t="s">
        <v>59</v>
      </c>
    </row>
    <row r="41" spans="2:2">
      <c r="B41" t="s">
        <v>60</v>
      </c>
    </row>
    <row r="42" spans="2:2">
      <c r="B42" t="s">
        <v>61</v>
      </c>
    </row>
    <row r="43" spans="2:2">
      <c r="B43" t="s">
        <v>62</v>
      </c>
    </row>
    <row r="44" spans="2:2">
      <c r="B44" t="s">
        <v>63</v>
      </c>
    </row>
    <row r="45" spans="2:2">
      <c r="B45" t="s">
        <v>64</v>
      </c>
    </row>
    <row r="46" spans="2:2">
      <c r="B46" t="s">
        <v>65</v>
      </c>
    </row>
    <row r="47" spans="2:2">
      <c r="B47" t="s">
        <v>66</v>
      </c>
    </row>
    <row r="48" spans="2:2">
      <c r="B48" t="s">
        <v>67</v>
      </c>
    </row>
    <row r="49" spans="2:2">
      <c r="B49" t="s">
        <v>68</v>
      </c>
    </row>
    <row r="50" spans="2:2">
      <c r="B50" t="s">
        <v>69</v>
      </c>
    </row>
    <row r="51" spans="2:2">
      <c r="B51" t="s">
        <v>70</v>
      </c>
    </row>
    <row r="52" spans="2:2">
      <c r="B52" t="s">
        <v>71</v>
      </c>
    </row>
    <row r="53" spans="2:2">
      <c r="B53" t="s">
        <v>72</v>
      </c>
    </row>
    <row r="54" spans="2:2">
      <c r="B54" t="s">
        <v>73</v>
      </c>
    </row>
    <row r="55" spans="2:2">
      <c r="B55" t="s">
        <v>74</v>
      </c>
    </row>
    <row r="56" spans="2:2">
      <c r="B56" t="s">
        <v>75</v>
      </c>
    </row>
    <row r="57" spans="2:2">
      <c r="B57" t="s">
        <v>76</v>
      </c>
    </row>
    <row r="58" spans="2:2">
      <c r="B58" t="s">
        <v>77</v>
      </c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11D8-EE4F-45C6-895A-12CFE1F3B736}">
  <sheetPr codeName="Sheet4"/>
  <dimension ref="B2:B27"/>
  <sheetViews>
    <sheetView topLeftCell="A13" workbookViewId="0">
      <selection activeCell="B24" sqref="B24"/>
    </sheetView>
  </sheetViews>
  <sheetFormatPr defaultRowHeight="12.75"/>
  <cols>
    <col min="2" max="2" width="25.1640625" bestFit="1" customWidth="1"/>
  </cols>
  <sheetData>
    <row r="2" spans="2:2" ht="15">
      <c r="B2" s="32" t="s">
        <v>78</v>
      </c>
    </row>
    <row r="3" spans="2:2" ht="15">
      <c r="B3" s="33" t="s">
        <v>79</v>
      </c>
    </row>
    <row r="4" spans="2:2" ht="15">
      <c r="B4" s="33" t="s">
        <v>80</v>
      </c>
    </row>
    <row r="5" spans="2:2" ht="15">
      <c r="B5" s="33" t="s">
        <v>81</v>
      </c>
    </row>
    <row r="6" spans="2:2" ht="15">
      <c r="B6" s="33" t="s">
        <v>82</v>
      </c>
    </row>
    <row r="7" spans="2:2" ht="15">
      <c r="B7" s="33" t="s">
        <v>83</v>
      </c>
    </row>
    <row r="8" spans="2:2" ht="15">
      <c r="B8" s="33" t="s">
        <v>84</v>
      </c>
    </row>
    <row r="9" spans="2:2" ht="15">
      <c r="B9" s="33" t="s">
        <v>85</v>
      </c>
    </row>
    <row r="10" spans="2:2" ht="15">
      <c r="B10" s="33" t="s">
        <v>86</v>
      </c>
    </row>
    <row r="11" spans="2:2" ht="15">
      <c r="B11" s="33" t="s">
        <v>87</v>
      </c>
    </row>
    <row r="12" spans="2:2" ht="15">
      <c r="B12" s="33" t="s">
        <v>88</v>
      </c>
    </row>
    <row r="13" spans="2:2" ht="15">
      <c r="B13" s="33" t="s">
        <v>89</v>
      </c>
    </row>
    <row r="14" spans="2:2" ht="15">
      <c r="B14" s="33" t="s">
        <v>90</v>
      </c>
    </row>
    <row r="15" spans="2:2" ht="15">
      <c r="B15" s="33" t="s">
        <v>91</v>
      </c>
    </row>
    <row r="16" spans="2:2" ht="15">
      <c r="B16" s="33" t="s">
        <v>92</v>
      </c>
    </row>
    <row r="17" spans="2:2" ht="15">
      <c r="B17" s="33" t="s">
        <v>93</v>
      </c>
    </row>
    <row r="18" spans="2:2" ht="15">
      <c r="B18" s="33" t="s">
        <v>94</v>
      </c>
    </row>
    <row r="19" spans="2:2" ht="15">
      <c r="B19" s="33" t="s">
        <v>95</v>
      </c>
    </row>
    <row r="20" spans="2:2" ht="15">
      <c r="B20" s="33" t="s">
        <v>96</v>
      </c>
    </row>
    <row r="21" spans="2:2" ht="15">
      <c r="B21" s="33" t="s">
        <v>97</v>
      </c>
    </row>
    <row r="22" spans="2:2" ht="15">
      <c r="B22" s="33" t="s">
        <v>98</v>
      </c>
    </row>
    <row r="23" spans="2:2" ht="15">
      <c r="B23" s="33" t="s">
        <v>99</v>
      </c>
    </row>
    <row r="24" spans="2:2" ht="15">
      <c r="B24" s="33" t="s">
        <v>100</v>
      </c>
    </row>
    <row r="25" spans="2:2" ht="15">
      <c r="B25" s="33" t="s">
        <v>101</v>
      </c>
    </row>
    <row r="26" spans="2:2" ht="15">
      <c r="B26" s="33" t="s">
        <v>102</v>
      </c>
    </row>
    <row r="27" spans="2:2" ht="15">
      <c r="B27" s="33" t="s">
        <v>103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E645-94B9-498B-8F91-43A85E0BC910}">
  <sheetPr codeName="Sheet5"/>
  <dimension ref="A1:C24"/>
  <sheetViews>
    <sheetView workbookViewId="0">
      <selection activeCell="J24" sqref="J24"/>
    </sheetView>
  </sheetViews>
  <sheetFormatPr defaultColWidth="8.83203125" defaultRowHeight="11.25"/>
  <cols>
    <col min="1" max="1" width="33.83203125" style="28" bestFit="1" customWidth="1"/>
    <col min="2" max="2" width="9.1640625" style="28" bestFit="1" customWidth="1"/>
    <col min="3" max="3" width="39" style="28" bestFit="1" customWidth="1"/>
    <col min="4" max="16384" width="8.83203125" style="28"/>
  </cols>
  <sheetData>
    <row r="1" spans="1:3">
      <c r="A1" s="29" t="s">
        <v>104</v>
      </c>
      <c r="B1" s="29" t="s">
        <v>105</v>
      </c>
      <c r="C1" s="29" t="s">
        <v>106</v>
      </c>
    </row>
    <row r="2" spans="1:3">
      <c r="A2" s="28" t="s">
        <v>107</v>
      </c>
      <c r="B2" s="28" t="s">
        <v>108</v>
      </c>
      <c r="C2" s="28" t="str">
        <f t="shared" ref="C2:C13" si="0">B2&amp;"-"&amp;A2</f>
        <v>11200-Educational Content Development - Higher</v>
      </c>
    </row>
    <row r="3" spans="1:3">
      <c r="A3" s="28" t="s">
        <v>109</v>
      </c>
      <c r="B3" s="28" t="s">
        <v>110</v>
      </c>
      <c r="C3" s="28" t="str">
        <f t="shared" si="0"/>
        <v>11300-Learning Solutions - Higher</v>
      </c>
    </row>
    <row r="4" spans="1:3">
      <c r="A4" s="28" t="s">
        <v>111</v>
      </c>
      <c r="B4" s="28" t="s">
        <v>112</v>
      </c>
      <c r="C4" s="28" t="str">
        <f t="shared" si="0"/>
        <v>20100-Learning Solutions - Primary</v>
      </c>
    </row>
    <row r="5" spans="1:3">
      <c r="A5" s="28" t="s">
        <v>113</v>
      </c>
      <c r="B5" s="28" t="s">
        <v>114</v>
      </c>
      <c r="C5" s="28" t="str">
        <f t="shared" si="0"/>
        <v>20400-Educational Content Development – Primary</v>
      </c>
    </row>
    <row r="6" spans="1:3">
      <c r="A6" s="28" t="s">
        <v>115</v>
      </c>
      <c r="B6" s="28" t="s">
        <v>116</v>
      </c>
      <c r="C6" s="28" t="str">
        <f t="shared" si="0"/>
        <v>25100-Learning Solutions - French Primary</v>
      </c>
    </row>
    <row r="7" spans="1:3">
      <c r="A7" s="28" t="s">
        <v>117</v>
      </c>
      <c r="B7" s="28" t="s">
        <v>118</v>
      </c>
      <c r="C7" s="28" t="str">
        <f t="shared" si="0"/>
        <v>30100-Learning Solutions - Secondary</v>
      </c>
    </row>
    <row r="8" spans="1:3">
      <c r="A8" s="28" t="s">
        <v>119</v>
      </c>
      <c r="B8" s="28" t="s">
        <v>120</v>
      </c>
      <c r="C8" s="28" t="str">
        <f t="shared" si="0"/>
        <v>30500-Educational Content Development - Secondary</v>
      </c>
    </row>
    <row r="9" spans="1:3">
      <c r="A9" s="28" t="s">
        <v>121</v>
      </c>
      <c r="B9" s="28" t="s">
        <v>122</v>
      </c>
      <c r="C9" s="28" t="str">
        <f t="shared" si="0"/>
        <v>30600-Learning Solutions - Proposition management</v>
      </c>
    </row>
    <row r="10" spans="1:3">
      <c r="A10" s="28" t="s">
        <v>123</v>
      </c>
      <c r="B10" s="28" t="s">
        <v>124</v>
      </c>
      <c r="C10" s="28" t="str">
        <f t="shared" si="0"/>
        <v>35100-Learning Solutions - French Secondary</v>
      </c>
    </row>
    <row r="11" spans="1:3">
      <c r="A11" s="28" t="s">
        <v>125</v>
      </c>
      <c r="B11" s="28" t="s">
        <v>126</v>
      </c>
      <c r="C11" s="28" t="str">
        <f t="shared" si="0"/>
        <v>40100-Learning Solutions - Vocational</v>
      </c>
    </row>
    <row r="12" spans="1:3">
      <c r="A12" s="28" t="s">
        <v>127</v>
      </c>
      <c r="B12" s="28" t="s">
        <v>128</v>
      </c>
      <c r="C12" s="28" t="str">
        <f t="shared" si="0"/>
        <v>40400-Educational Content Development - Vocational</v>
      </c>
    </row>
    <row r="13" spans="1:3">
      <c r="A13" s="28" t="s">
        <v>129</v>
      </c>
      <c r="B13" s="28" t="s">
        <v>130</v>
      </c>
      <c r="C13" s="28" t="str">
        <f t="shared" si="0"/>
        <v>50100-Learning Solutions - Professional</v>
      </c>
    </row>
    <row r="17" spans="1:1">
      <c r="A17" s="28" t="s">
        <v>26</v>
      </c>
    </row>
    <row r="18" spans="1:1">
      <c r="A18" s="28" t="s">
        <v>131</v>
      </c>
    </row>
    <row r="19" spans="1:1">
      <c r="A19" s="28" t="s">
        <v>132</v>
      </c>
    </row>
    <row r="20" spans="1:1">
      <c r="A20" s="28" t="s">
        <v>133</v>
      </c>
    </row>
    <row r="21" spans="1:1">
      <c r="A21" s="28" t="s">
        <v>159</v>
      </c>
    </row>
    <row r="22" spans="1:1">
      <c r="A22" s="28" t="s">
        <v>160</v>
      </c>
    </row>
    <row r="23" spans="1:1">
      <c r="A23" s="28" t="s">
        <v>161</v>
      </c>
    </row>
    <row r="24" spans="1:1">
      <c r="A24" s="28" t="s">
        <v>162</v>
      </c>
    </row>
  </sheetData>
  <sheetProtection sheet="1" objects="1" scenarios="1"/>
  <autoFilter ref="A1:C13" xr:uid="{DCF2E645-94B9-498B-8F91-43A85E0BC910}">
    <sortState xmlns:xlrd2="http://schemas.microsoft.com/office/spreadsheetml/2017/richdata2" ref="A2:C13">
      <sortCondition ref="C1:C13"/>
    </sortState>
  </autoFilter>
  <pageMargins left="0.75" right="0.75" top="1" bottom="1" header="0.5" footer="0.5"/>
  <ignoredErrors>
    <ignoredError sqref="B2:B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096DA-1A20-4874-8F7E-D30A8AB54AF1}">
  <sheetPr codeName="Sheet6"/>
  <dimension ref="C6:F31"/>
  <sheetViews>
    <sheetView topLeftCell="A15" workbookViewId="0">
      <selection activeCell="F31" sqref="F31"/>
    </sheetView>
  </sheetViews>
  <sheetFormatPr defaultRowHeight="12.75"/>
  <sheetData>
    <row r="6" spans="3:6">
      <c r="C6" t="s">
        <v>34</v>
      </c>
      <c r="F6" t="s">
        <v>134</v>
      </c>
    </row>
    <row r="7" spans="3:6">
      <c r="C7" t="s">
        <v>28</v>
      </c>
      <c r="F7" t="s">
        <v>135</v>
      </c>
    </row>
    <row r="8" spans="3:6">
      <c r="C8" s="41" t="s">
        <v>30</v>
      </c>
      <c r="F8" t="s">
        <v>136</v>
      </c>
    </row>
    <row r="9" spans="3:6">
      <c r="C9" s="41" t="s">
        <v>32</v>
      </c>
      <c r="F9" t="s">
        <v>137</v>
      </c>
    </row>
    <row r="10" spans="3:6">
      <c r="C10" s="41" t="s">
        <v>36</v>
      </c>
      <c r="F10" t="s">
        <v>29</v>
      </c>
    </row>
    <row r="11" spans="3:6">
      <c r="F11" t="s">
        <v>31</v>
      </c>
    </row>
    <row r="12" spans="3:6">
      <c r="F12" t="s">
        <v>33</v>
      </c>
    </row>
    <row r="13" spans="3:6">
      <c r="F13" t="s">
        <v>35</v>
      </c>
    </row>
    <row r="14" spans="3:6">
      <c r="F14" t="s">
        <v>37</v>
      </c>
    </row>
    <row r="15" spans="3:6">
      <c r="F15" t="s">
        <v>138</v>
      </c>
    </row>
    <row r="16" spans="3:6">
      <c r="F16" t="s">
        <v>139</v>
      </c>
    </row>
    <row r="17" spans="6:6">
      <c r="F17" t="s">
        <v>140</v>
      </c>
    </row>
    <row r="18" spans="6:6">
      <c r="F18" s="48" t="s">
        <v>163</v>
      </c>
    </row>
    <row r="19" spans="6:6">
      <c r="F19" t="s">
        <v>141</v>
      </c>
    </row>
    <row r="20" spans="6:6">
      <c r="F20" t="s">
        <v>142</v>
      </c>
    </row>
    <row r="21" spans="6:6">
      <c r="F21" t="s">
        <v>143</v>
      </c>
    </row>
    <row r="22" spans="6:6">
      <c r="F22" t="s">
        <v>144</v>
      </c>
    </row>
    <row r="23" spans="6:6">
      <c r="F23" t="s">
        <v>145</v>
      </c>
    </row>
    <row r="24" spans="6:6">
      <c r="F24" t="s">
        <v>146</v>
      </c>
    </row>
    <row r="25" spans="6:6">
      <c r="F25" t="s">
        <v>147</v>
      </c>
    </row>
    <row r="26" spans="6:6">
      <c r="F26" t="s">
        <v>148</v>
      </c>
    </row>
    <row r="27" spans="6:6">
      <c r="F27" t="s">
        <v>149</v>
      </c>
    </row>
    <row r="28" spans="6:6">
      <c r="F28" t="s">
        <v>150</v>
      </c>
    </row>
    <row r="29" spans="6:6">
      <c r="F29" t="s">
        <v>151</v>
      </c>
    </row>
    <row r="30" spans="6:6">
      <c r="F30" t="s">
        <v>152</v>
      </c>
    </row>
    <row r="31" spans="6:6">
      <c r="F31" s="48" t="s">
        <v>164</v>
      </c>
    </row>
  </sheetData>
  <sheetProtection sheet="1" objects="1" scenarios="1"/>
  <phoneticPr fontId="1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DF5A1530E0334592111D7124456FA8" ma:contentTypeVersion="13" ma:contentTypeDescription="Een nieuw document maken." ma:contentTypeScope="" ma:versionID="d00eb2d20ed4473a3c4ad859b2dab79a">
  <xsd:schema xmlns:xsd="http://www.w3.org/2001/XMLSchema" xmlns:xs="http://www.w3.org/2001/XMLSchema" xmlns:p="http://schemas.microsoft.com/office/2006/metadata/properties" xmlns:ns2="3455cc11-86b9-4a7d-9674-1a5ac6539d67" xmlns:ns3="0960d022-414e-49f8-ba7e-89e6e0d678fb" targetNamespace="http://schemas.microsoft.com/office/2006/metadata/properties" ma:root="true" ma:fieldsID="8c4ee6888e8a711d9a5adee10cb4fbe8" ns2:_="" ns3:_="">
    <xsd:import namespace="3455cc11-86b9-4a7d-9674-1a5ac6539d67"/>
    <xsd:import namespace="0960d022-414e-49f8-ba7e-89e6e0d678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5cc11-86b9-4a7d-9674-1a5ac6539d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2ea5b17-e537-4e5b-898d-fcb314baf7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60d022-414e-49f8-ba7e-89e6e0d678f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741c61-1b3d-4031-a954-dab7b990d325}" ma:internalName="TaxCatchAll" ma:showField="CatchAllData" ma:web="0960d022-414e-49f8-ba7e-89e6e0d678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60d022-414e-49f8-ba7e-89e6e0d678fb" xsi:nil="true"/>
    <lcf76f155ced4ddcb4097134ff3c332f xmlns="3455cc11-86b9-4a7d-9674-1a5ac6539d67">
      <Terms xmlns="http://schemas.microsoft.com/office/infopath/2007/PartnerControls"/>
    </lcf76f155ced4ddcb4097134ff3c332f>
    <SharedWithUsers xmlns="0960d022-414e-49f8-ba7e-89e6e0d678fb">
      <UserInfo>
        <DisplayName>Woestenenk, René</DisplayName>
        <AccountId>21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5F6018-E0CF-4280-BDC6-887A9E12E4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55cc11-86b9-4a7d-9674-1a5ac6539d67"/>
    <ds:schemaRef ds:uri="0960d022-414e-49f8-ba7e-89e6e0d678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0187BE-FF9F-40EB-ADE7-B8DC12CD7547}">
  <ds:schemaRefs>
    <ds:schemaRef ds:uri="http://schemas.microsoft.com/office/2006/metadata/properties"/>
    <ds:schemaRef ds:uri="http://schemas.microsoft.com/office/infopath/2007/PartnerControls"/>
    <ds:schemaRef ds:uri="0960d022-414e-49f8-ba7e-89e6e0d678fb"/>
    <ds:schemaRef ds:uri="3455cc11-86b9-4a7d-9674-1a5ac6539d67"/>
  </ds:schemaRefs>
</ds:datastoreItem>
</file>

<file path=customXml/itemProps3.xml><?xml version="1.0" encoding="utf-8"?>
<ds:datastoreItem xmlns:ds="http://schemas.openxmlformats.org/officeDocument/2006/customXml" ds:itemID="{2FF3FF47-B098-4450-8DDE-1CDCCB1243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Formulier_IDC</vt:lpstr>
      <vt:lpstr>Item</vt:lpstr>
      <vt:lpstr>Brand</vt:lpstr>
      <vt:lpstr>Cost centers</vt:lpstr>
      <vt:lpstr>Lijst</vt:lpstr>
      <vt:lpstr>Formulier_IDC!Print_Area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VOORBEELD FORMAT</dc:title>
  <dc:subject/>
  <dc:creator>tijssens</dc:creator>
  <cp:keywords/>
  <dc:description/>
  <cp:lastModifiedBy>Patrick Jeeninga</cp:lastModifiedBy>
  <cp:revision/>
  <dcterms:created xsi:type="dcterms:W3CDTF">2020-10-14T08:26:28Z</dcterms:created>
  <dcterms:modified xsi:type="dcterms:W3CDTF">2026-05-13T14:45:22Z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0x0101002EDF5A1530E0334592111D7124456FA8</vt:lpwstr>
  </property>
  <property fmtid="{D5CDD505-2E9C-101B-9397-08002B2CF9AE}" pid="3" name="MediaServiceImageTags">
    <vt:lpwstr/>
  </property>
</Properties>
</file>